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aket A" sheetId="2" state="visible" r:id="rId2"/>
    <sheet xmlns:r="http://schemas.openxmlformats.org/officeDocument/2006/relationships" name="Paket B" sheetId="3" state="visible" r:id="rId3"/>
    <sheet xmlns:r="http://schemas.openxmlformats.org/officeDocument/2006/relationships" name="Paket C" sheetId="4" state="visible" r:id="rId4"/>
    <sheet xmlns:r="http://schemas.openxmlformats.org/officeDocument/2006/relationships" name="Reference Sensors" sheetId="5" state="visible" r:id="rId5"/>
    <sheet xmlns:r="http://schemas.openxmlformats.org/officeDocument/2006/relationships" name="Sumber Harga" sheetId="6" state="visible" r:id="rId6"/>
    <sheet xmlns:r="http://schemas.openxmlformats.org/officeDocument/2006/relationships" name="Urutan Bel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blibli.com/p/kotak-amal-akrilik-ukuran-besar-30x30x30-cm/ps--DUC-60031-00363" TargetMode="External" Id="rId1"/><Relationship Type="http://schemas.openxmlformats.org/officeDocument/2006/relationships/hyperlink" Target="https://www.blibli.com/p/gy-bme280-bme-280-sensor-temperatur-kelembapan-barometric-tekanan-iic/ps--ITE-70030-00189" TargetMode="External" Id="rId2"/><Relationship Type="http://schemas.openxmlformats.org/officeDocument/2006/relationships/hyperlink" Target="https://digiwarestore.com/en/sensor/bme280-environmental-sensor-temperature-humidity-barometric-pressure-296523.html" TargetMode="External" Id="rId3"/><Relationship Type="http://schemas.openxmlformats.org/officeDocument/2006/relationships/hyperlink" Target="https://www.blibli.com/jual/dc-blower-fan-12-v" TargetMode="External" Id="rId4"/><Relationship Type="http://schemas.openxmlformats.org/officeDocument/2006/relationships/hyperlink" Target="https://www.blibli.com/jual/gland-kabel-pg7-pvc" TargetMode="External" Id="rId5"/><Relationship Type="http://schemas.openxmlformats.org/officeDocument/2006/relationships/hyperlink" Target="https://biggo.id/s/pneumatic%20selang%206mm" TargetMode="External" Id="rId6"/><Relationship Type="http://schemas.openxmlformats.org/officeDocument/2006/relationships/hyperlink" Target="https://biggo.id/s/pneumatic%20fitting%206mm" TargetMode="External" Id="rId7"/><Relationship Type="http://schemas.openxmlformats.org/officeDocument/2006/relationships/hyperlink" Target="https://biggo.id/s/Solenoid%2BValve%2B12V" TargetMode="External" Id="rId8"/><Relationship Type="http://schemas.openxmlformats.org/officeDocument/2006/relationships/hyperlink" Target="https://shopee.co.id/Regulator-Gas-LPG-Elpiji-SNI-Termurah-dan-Terbaik-i.641642292.15242832864" TargetMode="External" Id="rId9"/><Relationship Type="http://schemas.openxmlformats.org/officeDocument/2006/relationships/hyperlink" Target="https://shopee.co.id/search?keyword=rotameter+flow+meter" TargetMode="External" Id="rId10"/><Relationship Type="http://schemas.openxmlformats.org/officeDocument/2006/relationships/hyperlink" Target="https://shopee.co.id/Dn12-1-4-Inch-Flow-15-L-Min-Lzm-6T-Rotameter-%28Gas%29-i.164601711.27812346631" TargetMode="External" Id="rId11"/><Relationship Type="http://schemas.openxmlformats.org/officeDocument/2006/relationships/hyperlink" Target="https://shopee.co.id/search?keyword=gas+detectors" TargetMode="External" Id="rId12"/><Relationship Type="http://schemas.openxmlformats.org/officeDocument/2006/relationships/hyperlink" Target="https://www.sndway.id/product-page/sndway-gas-detector-4-in-1-co-h2s-o2-combustible-gas-sensor-sw-7500a-pro" TargetMode="External" Id="rId13"/><Relationship Type="http://schemas.openxmlformats.org/officeDocument/2006/relationships/hyperlink" Target="https://nevadanano.com/products/mps-flammable-gas-sensor/" TargetMode="External" Id="rId14"/><Relationship Type="http://schemas.openxmlformats.org/officeDocument/2006/relationships/hyperlink" Target="https://www.alphasense.com/products/view-by-target-gas/carbon-monoxide-sensors-co" TargetMode="External" Id="rId15"/><Relationship Type="http://schemas.openxmlformats.org/officeDocument/2006/relationships/hyperlink" Target="https://www.alphasense.com/products/view-by-target-gas/hydrogen-sulphide-sensors-h2s" TargetMode="External" Id="rId16"/><Relationship Type="http://schemas.openxmlformats.org/officeDocument/2006/relationships/hyperlink" Target="https://sensirion.com/sgp4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70" customWidth="1" min="4" max="4"/>
  </cols>
  <sheetData>
    <row r="1">
      <c r="A1" s="1" t="inlineStr">
        <is>
          <t>RAB Gas Test Chamber</t>
        </is>
      </c>
      <c r="B1" s="2" t="n"/>
      <c r="C1" s="2" t="n"/>
      <c r="D1" s="2" t="n"/>
    </row>
    <row r="2">
      <c r="A2" s="3" t="inlineStr">
        <is>
          <t>Disusun dari riset harga marketplace Indonesia dan rekomendasi hardware chamber gas.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Paket</t>
        </is>
      </c>
      <c r="B4" s="4" t="inlineStr">
        <is>
          <t>Deskripsi</t>
        </is>
      </c>
      <c r="C4" s="4" t="inlineStr">
        <is>
          <t>Estimasi Total</t>
        </is>
      </c>
      <c r="D4" s="4" t="inlineStr">
        <is>
          <t>Catatan</t>
        </is>
      </c>
    </row>
    <row r="5">
      <c r="A5" s="2" t="inlineStr">
        <is>
          <t>Paket A</t>
        </is>
      </c>
      <c r="B5" s="2" t="inlineStr">
        <is>
          <t>Starter LPG-family chamber</t>
        </is>
      </c>
      <c r="C5" s="5" t="n">
        <v>2452534</v>
      </c>
      <c r="D5" s="2" t="inlineStr">
        <is>
          <t>Validasi mekanik, logging awal, belum untuk klaim ppm produksi</t>
        </is>
      </c>
    </row>
    <row r="6">
      <c r="A6" s="2" t="inlineStr">
        <is>
          <t>Paket B</t>
        </is>
      </c>
      <c r="B6" s="2" t="inlineStr">
        <is>
          <t>Improved controlled-flow LPG/methane chamber</t>
        </is>
      </c>
      <c r="C6" s="5" t="n">
        <v>5958434</v>
      </c>
      <c r="D6" s="2" t="inlineStr">
        <is>
          <t>Lebih repeatable, ada detector 4-in-1 low-mid range</t>
        </is>
      </c>
    </row>
    <row r="7">
      <c r="A7" s="2" t="inlineStr">
        <is>
          <t>Paket C</t>
        </is>
      </c>
      <c r="B7" s="2" t="inlineStr">
        <is>
          <t>Toxic gas / reference-grade upgrade</t>
        </is>
      </c>
      <c r="C7" s="2" t="inlineStr">
        <is>
          <t>RFQ / Rp2,2 juta - Rp13,3 juta+</t>
        </is>
      </c>
      <c r="D7" s="2" t="inlineStr">
        <is>
          <t>Untuk CO/H2S hanya dengan safety lab dan kalibrasi</t>
        </is>
      </c>
    </row>
    <row r="8">
      <c r="A8" s="2" t="n"/>
      <c r="B8" s="2" t="n"/>
      <c r="C8" s="2" t="n"/>
      <c r="D8" s="2" t="n"/>
    </row>
    <row r="9">
      <c r="A9" s="6" t="inlineStr">
        <is>
          <t>Peringatan keselamatan</t>
        </is>
      </c>
      <c r="B9" s="7" t="inlineStr">
        <is>
          <t>CO dan H2S tidak direkomendasikan untuk chamber DIY tanpa instrumen tersertifikasi, ventilasi, prosedur darurat, dan supervisi lab.</t>
        </is>
      </c>
      <c r="C9" s="2" t="n"/>
      <c r="D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10" customWidth="1" min="4" max="4"/>
    <col width="18" customWidth="1" min="5" max="5"/>
    <col width="18" customWidth="1" min="6" max="6"/>
    <col width="45" customWidth="1" min="7" max="7"/>
  </cols>
  <sheetData>
    <row r="1">
      <c r="A1" s="1" t="inlineStr">
        <is>
          <t>Paket A - Starter LPG-Family Chamber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Harga estimasi riset 2026-04-30. Belum termasuk ongkir, pajak, diskon, atau stok habis.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No</t>
        </is>
      </c>
      <c r="B4" s="4" t="inlineStr">
        <is>
          <t>Item</t>
        </is>
      </c>
      <c r="C4" s="4" t="inlineStr">
        <is>
          <t>Qty</t>
        </is>
      </c>
      <c r="D4" s="4" t="inlineStr">
        <is>
          <t>Satuan</t>
        </is>
      </c>
      <c r="E4" s="4" t="inlineStr">
        <is>
          <t>Harga Satuan</t>
        </is>
      </c>
      <c r="F4" s="4" t="inlineStr">
        <is>
          <t>Total / Tambahan</t>
        </is>
      </c>
      <c r="G4" s="4" t="inlineStr">
        <is>
          <t>Catatan</t>
        </is>
      </c>
    </row>
    <row r="5">
      <c r="A5" s="2" t="n">
        <v>1</v>
      </c>
      <c r="B5" s="2" t="inlineStr">
        <is>
          <t>Box akrilik 30 x 30 x 30 cm</t>
        </is>
      </c>
      <c r="C5" s="2" t="n">
        <v>1</v>
      </c>
      <c r="D5" s="2" t="inlineStr">
        <is>
          <t>pcs</t>
        </is>
      </c>
      <c r="E5" s="5" t="n">
        <v>243000</v>
      </c>
      <c r="F5" s="5" t="n">
        <v>243000</v>
      </c>
      <c r="G5" s="2" t="inlineStr">
        <is>
          <t>Basis chamber kecil, perlu modifikasi port dan gasket</t>
        </is>
      </c>
    </row>
    <row r="6">
      <c r="A6" s="2" t="n">
        <v>2</v>
      </c>
      <c r="B6" s="2" t="inlineStr">
        <is>
          <t>Modifikasi port, gasket silikon, baut, dudukan sensor</t>
        </is>
      </c>
      <c r="C6" s="2" t="n">
        <v>1</v>
      </c>
      <c r="D6" s="2" t="inlineStr">
        <is>
          <t>lot</t>
        </is>
      </c>
      <c r="E6" s="5" t="n">
        <v>150000</v>
      </c>
      <c r="F6" s="5" t="n">
        <v>150000</v>
      </c>
      <c r="G6" s="2" t="inlineStr">
        <is>
          <t>Estimasi lokal/bengkel</t>
        </is>
      </c>
    </row>
    <row r="7">
      <c r="A7" s="2" t="n">
        <v>3</v>
      </c>
      <c r="B7" s="2" t="inlineStr">
        <is>
          <t>BME280 module</t>
        </is>
      </c>
      <c r="C7" s="2" t="n">
        <v>1</v>
      </c>
      <c r="D7" s="2" t="inlineStr">
        <is>
          <t>pcs</t>
        </is>
      </c>
      <c r="E7" s="5" t="n">
        <v>58500</v>
      </c>
      <c r="F7" s="5" t="n">
        <v>58500</v>
      </c>
      <c r="G7" s="2" t="inlineStr">
        <is>
          <t>Temperatur, kelembapan, tekanan</t>
        </is>
      </c>
    </row>
    <row r="8">
      <c r="A8" s="2" t="n">
        <v>4</v>
      </c>
      <c r="B8" s="2" t="inlineStr">
        <is>
          <t>Kipas brushless DC 12 V</t>
        </is>
      </c>
      <c r="C8" s="2" t="n">
        <v>1</v>
      </c>
      <c r="D8" s="2" t="inlineStr">
        <is>
          <t>pcs</t>
        </is>
      </c>
      <c r="E8" s="5" t="n">
        <v>35000</v>
      </c>
      <c r="F8" s="5" t="n">
        <v>35000</v>
      </c>
      <c r="G8" s="2" t="inlineStr">
        <is>
          <t>Mixing fan internal rendah tegangan</t>
        </is>
      </c>
    </row>
    <row r="9">
      <c r="A9" s="2" t="n">
        <v>5</v>
      </c>
      <c r="B9" s="2" t="inlineStr">
        <is>
          <t>Cable gland PG7</t>
        </is>
      </c>
      <c r="C9" s="2" t="n">
        <v>5</v>
      </c>
      <c r="D9" s="2" t="inlineStr">
        <is>
          <t>pcs</t>
        </is>
      </c>
      <c r="E9" s="5" t="n">
        <v>2500</v>
      </c>
      <c r="F9" s="5" t="n">
        <v>12500</v>
      </c>
      <c r="G9" s="2" t="inlineStr">
        <is>
          <t>Untuk kabel sensor/fan</t>
        </is>
      </c>
    </row>
    <row r="10">
      <c r="A10" s="2" t="n">
        <v>6</v>
      </c>
      <c r="B10" s="2" t="inlineStr">
        <is>
          <t>Selang PU pneumatic 6 mm</t>
        </is>
      </c>
      <c r="C10" s="2" t="n">
        <v>5</v>
      </c>
      <c r="D10" s="2" t="inlineStr">
        <is>
          <t>m</t>
        </is>
      </c>
      <c r="E10" s="5" t="n">
        <v>6100</v>
      </c>
      <c r="F10" s="5" t="n">
        <v>30500</v>
      </c>
      <c r="G10" s="2" t="inlineStr">
        <is>
          <t>Tubing gas/udara ringan</t>
        </is>
      </c>
    </row>
    <row r="11">
      <c r="A11" s="2" t="n">
        <v>7</v>
      </c>
      <c r="B11" s="2" t="inlineStr">
        <is>
          <t>Fitting pneumatic 6 mm</t>
        </is>
      </c>
      <c r="C11" s="2" t="n">
        <v>10</v>
      </c>
      <c r="D11" s="2" t="inlineStr">
        <is>
          <t>pcs</t>
        </is>
      </c>
      <c r="E11" s="5" t="n">
        <v>5000</v>
      </c>
      <c r="F11" s="5" t="n">
        <v>50000</v>
      </c>
      <c r="G11" s="2" t="inlineStr">
        <is>
          <t>Straight, elbow, tee, bulkhead</t>
        </is>
      </c>
    </row>
    <row r="12">
      <c r="A12" s="2" t="n">
        <v>8</v>
      </c>
      <c r="B12" s="2" t="inlineStr">
        <is>
          <t>Solenoid valve 12 V NC</t>
        </is>
      </c>
      <c r="C12" s="2" t="n">
        <v>2</v>
      </c>
      <c r="D12" s="2" t="inlineStr">
        <is>
          <t>pcs</t>
        </is>
      </c>
      <c r="E12" s="5" t="n">
        <v>157500</v>
      </c>
      <c r="F12" s="5" t="n">
        <v>315000</v>
      </c>
      <c r="G12" s="2" t="inlineStr">
        <is>
          <t>Gas inlet dan clean-air inlet; letakkan di luar chamber</t>
        </is>
      </c>
    </row>
    <row r="13">
      <c r="A13" s="2" t="n">
        <v>9</v>
      </c>
      <c r="B13" s="2" t="inlineStr">
        <is>
          <t>Regulator LPG SNI</t>
        </is>
      </c>
      <c r="C13" s="2" t="n">
        <v>1</v>
      </c>
      <c r="D13" s="2" t="inlineStr">
        <is>
          <t>pcs</t>
        </is>
      </c>
      <c r="E13" s="5" t="n">
        <v>48138</v>
      </c>
      <c r="F13" s="5" t="n">
        <v>48138</v>
      </c>
      <c r="G13" s="2" t="inlineStr">
        <is>
          <t>Untuk fase LPG-family sederhana</t>
        </is>
      </c>
    </row>
    <row r="14">
      <c r="A14" s="2" t="n">
        <v>10</v>
      </c>
      <c r="B14" s="2" t="inlineStr">
        <is>
          <t>Rotameter gas/udara sederhana</t>
        </is>
      </c>
      <c r="C14" s="2" t="n">
        <v>1</v>
      </c>
      <c r="D14" s="2" t="inlineStr">
        <is>
          <t>pcs</t>
        </is>
      </c>
      <c r="E14" s="5" t="n">
        <v>190000</v>
      </c>
      <c r="F14" s="5" t="n">
        <v>190000</v>
      </c>
      <c r="G14" s="2" t="inlineStr">
        <is>
          <t>Minimal flow indication, bukan mass flow controller</t>
        </is>
      </c>
    </row>
    <row r="15">
      <c r="A15" s="2" t="n">
        <v>11</v>
      </c>
      <c r="B15" s="2" t="inlineStr">
        <is>
          <t>Portable combustible gas leak detector / LEL detector low-cost</t>
        </is>
      </c>
      <c r="C15" s="2" t="n">
        <v>1</v>
      </c>
      <c r="D15" s="2" t="inlineStr">
        <is>
          <t>pcs</t>
        </is>
      </c>
      <c r="E15" s="5" t="n">
        <v>750000</v>
      </c>
      <c r="F15" s="5" t="n">
        <v>750000</v>
      </c>
      <c r="G15" s="2" t="inlineStr">
        <is>
          <t>Safety monitor eksternal, bukan reference-grade</t>
        </is>
      </c>
    </row>
    <row r="16">
      <c r="A16" s="2" t="n">
        <v>12</v>
      </c>
      <c r="B16" s="2" t="inlineStr">
        <is>
          <t>Power supply 12 V DC</t>
        </is>
      </c>
      <c r="C16" s="2" t="n">
        <v>1</v>
      </c>
      <c r="D16" s="2" t="inlineStr">
        <is>
          <t>pcs</t>
        </is>
      </c>
      <c r="E16" s="5" t="n">
        <v>100000</v>
      </c>
      <c r="F16" s="5" t="n">
        <v>100000</v>
      </c>
      <c r="G16" s="2" t="inlineStr">
        <is>
          <t>Fan + solenoid</t>
        </is>
      </c>
    </row>
    <row r="17">
      <c r="A17" s="2" t="n">
        <v>13</v>
      </c>
      <c r="B17" s="2" t="inlineStr">
        <is>
          <t>Clamp, seal tape, bracket, kabel, konektor, terminal</t>
        </is>
      </c>
      <c r="C17" s="2" t="n">
        <v>1</v>
      </c>
      <c r="D17" s="2" t="inlineStr">
        <is>
          <t>lot</t>
        </is>
      </c>
      <c r="E17" s="5" t="n">
        <v>150000</v>
      </c>
      <c r="F17" s="5" t="n">
        <v>150000</v>
      </c>
      <c r="G17" s="2" t="inlineStr">
        <is>
          <t>Consumables</t>
        </is>
      </c>
    </row>
    <row r="18">
      <c r="A18" s="8" t="inlineStr"/>
      <c r="B18" s="8" t="inlineStr"/>
      <c r="C18" s="8" t="inlineStr"/>
      <c r="D18" s="8" t="inlineStr"/>
      <c r="E18" s="8" t="inlineStr">
        <is>
          <t>Subtotal</t>
        </is>
      </c>
      <c r="F18" s="8">
        <f>SUM(F5:F17)</f>
        <v/>
      </c>
      <c r="G18" s="8" t="inlineStr"/>
    </row>
    <row r="19">
      <c r="A19" s="8" t="inlineStr"/>
      <c r="B19" s="8" t="inlineStr"/>
      <c r="C19" s="8" t="inlineStr"/>
      <c r="D19" s="8" t="inlineStr"/>
      <c r="E19" s="8" t="inlineStr">
        <is>
          <t>Cadangan 15%</t>
        </is>
      </c>
      <c r="F19" s="8">
        <f>F18*15%</f>
        <v/>
      </c>
      <c r="G19" s="8" t="inlineStr"/>
    </row>
    <row r="20">
      <c r="A20" s="8" t="inlineStr"/>
      <c r="B20" s="8" t="inlineStr"/>
      <c r="C20" s="8" t="inlineStr"/>
      <c r="D20" s="8" t="inlineStr"/>
      <c r="E20" s="8" t="inlineStr">
        <is>
          <t>Estimasi Total</t>
        </is>
      </c>
      <c r="F20" s="8">
        <f>F18+F19</f>
        <v/>
      </c>
      <c r="G2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10" customWidth="1" min="4" max="4"/>
    <col width="18" customWidth="1" min="5" max="5"/>
    <col width="18" customWidth="1" min="6" max="6"/>
    <col width="45" customWidth="1" min="7" max="7"/>
  </cols>
  <sheetData>
    <row r="1">
      <c r="A1" s="1" t="inlineStr">
        <is>
          <t>Paket B - Improved Controlled-Flow LPG/Methane Chamber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Harga estimasi riset 2026-04-30. Belum termasuk ongkir, pajak, diskon, atau stok habis.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No</t>
        </is>
      </c>
      <c r="B4" s="4" t="inlineStr">
        <is>
          <t>Item</t>
        </is>
      </c>
      <c r="C4" s="4" t="inlineStr">
        <is>
          <t>Qty</t>
        </is>
      </c>
      <c r="D4" s="4" t="inlineStr">
        <is>
          <t>Satuan</t>
        </is>
      </c>
      <c r="E4" s="4" t="inlineStr">
        <is>
          <t>Harga Satuan</t>
        </is>
      </c>
      <c r="F4" s="4" t="inlineStr">
        <is>
          <t>Total / Tambahan</t>
        </is>
      </c>
      <c r="G4" s="4" t="inlineStr">
        <is>
          <t>Catatan</t>
        </is>
      </c>
    </row>
    <row r="5">
      <c r="A5" s="2" t="n">
        <v>1</v>
      </c>
      <c r="B5" s="2" t="inlineStr">
        <is>
          <t>Chamber akrilik custom 10-30 L dengan port rapi</t>
        </is>
      </c>
      <c r="C5" s="2" t="n">
        <v>1</v>
      </c>
      <c r="D5" s="2" t="inlineStr">
        <is>
          <t>pcs</t>
        </is>
      </c>
      <c r="E5" s="5" t="n">
        <v>750000</v>
      </c>
      <c r="F5" s="5" t="n">
        <v>507000</v>
      </c>
      <c r="G5" s="2" t="inlineStr">
        <is>
          <t>Upgrade dari box akrilik sederhana</t>
        </is>
      </c>
    </row>
    <row r="6">
      <c r="A6" s="2" t="n">
        <v>2</v>
      </c>
      <c r="B6" s="2" t="inlineStr">
        <is>
          <t>Gas rotameter LZM-6T 15-20 L/min</t>
        </is>
      </c>
      <c r="C6" s="2" t="n">
        <v>1</v>
      </c>
      <c r="D6" s="2" t="inlineStr">
        <is>
          <t>pcs</t>
        </is>
      </c>
      <c r="E6" s="5" t="n">
        <v>1049000</v>
      </c>
      <c r="F6" s="5" t="n">
        <v>859000</v>
      </c>
      <c r="G6" s="2" t="inlineStr">
        <is>
          <t>Lebih sesuai untuk gas dibanding rotameter murah</t>
        </is>
      </c>
    </row>
    <row r="7">
      <c r="A7" s="2" t="n">
        <v>3</v>
      </c>
      <c r="B7" s="2" t="inlineStr">
        <is>
          <t>4-in-1 gas detector CO/H2S/O2/LEL</t>
        </is>
      </c>
      <c r="C7" s="2" t="n">
        <v>1</v>
      </c>
      <c r="D7" s="2" t="inlineStr">
        <is>
          <t>pcs</t>
        </is>
      </c>
      <c r="E7" s="5" t="n">
        <v>2250000</v>
      </c>
      <c r="F7" s="5" t="n">
        <v>1500000</v>
      </c>
      <c r="G7" s="2" t="inlineStr">
        <is>
          <t>Replace detector murah; tetap perlu kalibrasi</t>
        </is>
      </c>
    </row>
    <row r="8">
      <c r="A8" s="2" t="n">
        <v>4</v>
      </c>
      <c r="B8" s="2" t="inlineStr">
        <is>
          <t>BME280/SHT module kualitas lebih baik</t>
        </is>
      </c>
      <c r="C8" s="2" t="n">
        <v>1</v>
      </c>
      <c r="D8" s="2" t="inlineStr">
        <is>
          <t>pcs</t>
        </is>
      </c>
      <c r="E8" s="5" t="n">
        <v>148400</v>
      </c>
      <c r="F8" s="5" t="n">
        <v>89900</v>
      </c>
      <c r="G8" s="2" t="inlineStr">
        <is>
          <t>Upgrade dari modul murah</t>
        </is>
      </c>
    </row>
    <row r="9">
      <c r="A9" s="2" t="n">
        <v>5</v>
      </c>
      <c r="B9" s="2" t="inlineStr">
        <is>
          <t>Exhaust fan/ducting kecil + bracket</t>
        </is>
      </c>
      <c r="C9" s="2" t="n">
        <v>1</v>
      </c>
      <c r="D9" s="2" t="inlineStr">
        <is>
          <t>lot</t>
        </is>
      </c>
      <c r="E9" s="5" t="n">
        <v>300000</v>
      </c>
      <c r="F9" s="5" t="n">
        <v>300000</v>
      </c>
      <c r="G9" s="2" t="inlineStr">
        <is>
          <t>Venting ke lokasi aman</t>
        </is>
      </c>
    </row>
    <row r="10">
      <c r="A10" s="2" t="n">
        <v>6</v>
      </c>
      <c r="B10" s="2" t="inlineStr">
        <is>
          <t>Extra fittings, check valve, quick connector</t>
        </is>
      </c>
      <c r="C10" s="2" t="n">
        <v>1</v>
      </c>
      <c r="D10" s="2" t="inlineStr">
        <is>
          <t>lot</t>
        </is>
      </c>
      <c r="E10" s="5" t="n">
        <v>250000</v>
      </c>
      <c r="F10" s="5" t="n">
        <v>250000</v>
      </c>
      <c r="G10" s="2" t="inlineStr">
        <is>
          <t>Membuat flow path lebih mudah dirawat</t>
        </is>
      </c>
    </row>
    <row r="11">
      <c r="A11" s="8" t="inlineStr"/>
      <c r="B11" s="8" t="inlineStr"/>
      <c r="C11" s="8" t="inlineStr"/>
      <c r="D11" s="8" t="inlineStr"/>
      <c r="E11" s="8" t="inlineStr">
        <is>
          <t>Subtotal</t>
        </is>
      </c>
      <c r="F11" s="8">
        <f>SUM(F5:F10)</f>
        <v/>
      </c>
      <c r="G11" s="8" t="inlineStr"/>
    </row>
    <row r="12">
      <c r="A12" s="8" t="inlineStr"/>
      <c r="B12" s="8" t="inlineStr"/>
      <c r="C12" s="8" t="inlineStr"/>
      <c r="D12" s="8" t="inlineStr"/>
      <c r="E12" s="8" t="inlineStr">
        <is>
          <t>Cadangan 15%</t>
        </is>
      </c>
      <c r="F12" s="8">
        <f>F11*15%</f>
        <v/>
      </c>
      <c r="G12" s="8" t="inlineStr"/>
    </row>
    <row r="13">
      <c r="A13" s="8" t="inlineStr"/>
      <c r="B13" s="8" t="inlineStr"/>
      <c r="C13" s="8" t="inlineStr"/>
      <c r="D13" s="8" t="inlineStr"/>
      <c r="E13" s="8" t="inlineStr">
        <is>
          <t>Estimasi Total</t>
        </is>
      </c>
      <c r="F13" s="8">
        <f>F11+F12</f>
        <v/>
      </c>
      <c r="G1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10" customWidth="1" min="4" max="4"/>
    <col width="18" customWidth="1" min="5" max="5"/>
    <col width="18" customWidth="1" min="6" max="6"/>
    <col width="45" customWidth="1" min="7" max="7"/>
  </cols>
  <sheetData>
    <row r="1">
      <c r="A1" s="1" t="inlineStr">
        <is>
          <t>Paket C - Toxic Gas / Reference-Grade Upgrade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Harga estimasi riset 2026-04-30. Belum termasuk ongkir, pajak, diskon, atau stok habis.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No</t>
        </is>
      </c>
      <c r="B4" s="4" t="inlineStr">
        <is>
          <t>Item</t>
        </is>
      </c>
      <c r="C4" s="4" t="inlineStr">
        <is>
          <t>Qty</t>
        </is>
      </c>
      <c r="D4" s="4" t="inlineStr">
        <is>
          <t>Satuan</t>
        </is>
      </c>
      <c r="E4" s="4" t="inlineStr">
        <is>
          <t>Harga Satuan</t>
        </is>
      </c>
      <c r="F4" s="4" t="inlineStr">
        <is>
          <t>Total / Tambahan</t>
        </is>
      </c>
      <c r="G4" s="4" t="inlineStr">
        <is>
          <t>Catatan</t>
        </is>
      </c>
    </row>
    <row r="5">
      <c r="A5" s="2" t="n">
        <v>1</v>
      </c>
      <c r="B5" s="2" t="inlineStr">
        <is>
          <t>4-in-1 detector CO/H2S/O2/LEL low-mid range</t>
        </is>
      </c>
      <c r="C5" s="2" t="n">
        <v>1</v>
      </c>
      <c r="D5" s="2" t="inlineStr">
        <is>
          <t>pcs</t>
        </is>
      </c>
      <c r="E5" s="2" t="inlineStr">
        <is>
          <t>Rp2.199.000 - Rp3.600.000</t>
        </is>
      </c>
      <c r="F5" s="2" t="inlineStr"/>
      <c r="G5" s="2" t="inlineStr">
        <is>
          <t>Minimum safety monitor, perlu cek kalibrasi</t>
        </is>
      </c>
    </row>
    <row r="6">
      <c r="A6" s="2" t="n">
        <v>2</v>
      </c>
      <c r="B6" s="2" t="inlineStr">
        <is>
          <t>4-gas detector brand industrial higher-end</t>
        </is>
      </c>
      <c r="C6" s="2" t="n">
        <v>1</v>
      </c>
      <c r="D6" s="2" t="inlineStr">
        <is>
          <t>pcs</t>
        </is>
      </c>
      <c r="E6" s="5" t="n">
        <v>13320000</v>
      </c>
      <c r="F6" s="5" t="n">
        <v>13320000</v>
      </c>
      <c r="G6" s="2" t="inlineStr">
        <is>
          <t>Contoh BW Max XT II, lebih dekat ke industrial</t>
        </is>
      </c>
    </row>
    <row r="7">
      <c r="A7" s="2" t="n">
        <v>3</v>
      </c>
      <c r="B7" s="2" t="inlineStr">
        <is>
          <t>CO meter electrochemical portable</t>
        </is>
      </c>
      <c r="C7" s="2" t="n">
        <v>1</v>
      </c>
      <c r="D7" s="2" t="inlineStr">
        <is>
          <t>pcs</t>
        </is>
      </c>
      <c r="E7" s="2" t="inlineStr">
        <is>
          <t>Rp495.000+</t>
        </is>
      </c>
      <c r="F7" s="2" t="inlineStr"/>
      <c r="G7" s="2" t="inlineStr">
        <is>
          <t>Untuk CO only; cek sertifikat/kalibrasi</t>
        </is>
      </c>
    </row>
    <row r="8">
      <c r="A8" s="2" t="n">
        <v>4</v>
      </c>
      <c r="B8" s="2" t="inlineStr">
        <is>
          <t>Certified calibration gas / jasa kalibrasi</t>
        </is>
      </c>
      <c r="C8" s="2" t="n">
        <v>1</v>
      </c>
      <c r="D8" s="2" t="inlineStr">
        <is>
          <t>lot</t>
        </is>
      </c>
      <c r="E8" s="2" t="inlineStr">
        <is>
          <t>RFQ</t>
        </is>
      </c>
      <c r="F8" s="2" t="inlineStr"/>
      <c r="G8" s="2" t="inlineStr">
        <is>
          <t>Wajib untuk reference-grade</t>
        </is>
      </c>
    </row>
    <row r="9">
      <c r="A9" s="2" t="n">
        <v>5</v>
      </c>
      <c r="B9" s="2" t="inlineStr">
        <is>
          <t>Exhaust/fume handling dan safety procedure</t>
        </is>
      </c>
      <c r="C9" s="2" t="n">
        <v>1</v>
      </c>
      <c r="D9" s="2" t="inlineStr">
        <is>
          <t>lot</t>
        </is>
      </c>
      <c r="E9" s="2" t="inlineStr">
        <is>
          <t>RFQ</t>
        </is>
      </c>
      <c r="F9" s="2" t="inlineStr"/>
      <c r="G9" s="2" t="inlineStr">
        <is>
          <t>Wajib untuk CO/H2S</t>
        </is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6" t="inlineStr">
        <is>
          <t>Catatan</t>
        </is>
      </c>
      <c r="B11" s="2" t="inlineStr">
        <is>
          <t>Gunakan hanya dengan instrumen tersertifikasi, ventilasi, SOP darurat, dan supervisi lab.</t>
        </is>
      </c>
      <c r="C11" s="2" t="n"/>
      <c r="D11" s="2" t="n"/>
      <c r="E11" s="2" t="n"/>
      <c r="F11" s="2" t="n"/>
      <c r="G1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55" customWidth="1" min="3" max="3"/>
  </cols>
  <sheetData>
    <row r="1">
      <c r="A1" s="1" t="inlineStr">
        <is>
          <t>Rekomendasi Reference Sensors</t>
        </is>
      </c>
      <c r="B1" s="2" t="n"/>
      <c r="C1" s="2" t="n"/>
    </row>
    <row r="2">
      <c r="A2" s="3" t="inlineStr">
        <is>
          <t>MQ array tetap menjadi input ML; reference sensor/instrument dipakai untuk label dan validasi.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Target Gas</t>
        </is>
      </c>
      <c r="B4" s="4" t="inlineStr">
        <is>
          <t>Recommended Reference Option</t>
        </is>
      </c>
      <c r="C4" s="4" t="inlineStr">
        <is>
          <t>Catatan</t>
        </is>
      </c>
    </row>
    <row r="5">
      <c r="A5" s="2" t="inlineStr">
        <is>
          <t>Butane / LPG</t>
        </is>
      </c>
      <c r="B5" s="2" t="inlineStr">
        <is>
          <t>NevadaNano MPS flammable gas sensor atau calibrated LPG/LEL detector</t>
        </is>
      </c>
      <c r="C5" s="2" t="inlineStr">
        <is>
          <t>TGS2610 hanya cross-check</t>
        </is>
      </c>
    </row>
    <row r="6">
      <c r="A6" s="2" t="inlineStr">
        <is>
          <t>Propane</t>
        </is>
      </c>
      <c r="B6" s="2" t="inlineStr">
        <is>
          <t>NevadaNano MPS flammable gas sensor atau calibrated LPG/LEL detector</t>
        </is>
      </c>
      <c r="C6" s="2" t="inlineStr">
        <is>
          <t>TGS2610 hanya cross-check</t>
        </is>
      </c>
    </row>
    <row r="7">
      <c r="A7" s="2" t="inlineStr">
        <is>
          <t>Methane</t>
        </is>
      </c>
      <c r="B7" s="2" t="inlineStr">
        <is>
          <t>NevadaNano MPS flammable gas sensor atau calibrated methane/LEL detector</t>
        </is>
      </c>
      <c r="C7" s="2" t="inlineStr">
        <is>
          <t>Jangan pakai TGS2610 sebagai ppm ground truth</t>
        </is>
      </c>
    </row>
    <row r="8">
      <c r="A8" s="2" t="inlineStr">
        <is>
          <t>CO</t>
        </is>
      </c>
      <c r="B8" s="2" t="inlineStr">
        <is>
          <t>Alphasense CO electrochemical sensor atau calibrated CO detector/logger</t>
        </is>
      </c>
      <c r="C8" s="2" t="inlineStr">
        <is>
          <t>Butuh safety dan kalibrasi</t>
        </is>
      </c>
    </row>
    <row r="9">
      <c r="A9" s="2" t="inlineStr">
        <is>
          <t>H2S</t>
        </is>
      </c>
      <c r="B9" s="2" t="inlineStr">
        <is>
          <t>Alphasense H2S electrochemical sensor atau calibrated H2S detector/logger</t>
        </is>
      </c>
      <c r="C9" s="2" t="inlineStr">
        <is>
          <t>Butuh safety dan kalibrasi</t>
        </is>
      </c>
    </row>
    <row r="10">
      <c r="A10" s="2" t="inlineStr">
        <is>
          <t>VOC / false positives</t>
        </is>
      </c>
      <c r="B10" s="2" t="inlineStr">
        <is>
          <t>Sensirion SGP40 atau sejenis</t>
        </is>
      </c>
      <c r="C10" s="2" t="inlineStr">
        <is>
          <t>Interference context only, bukan ppm ground truth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90" customWidth="1" min="4" max="4"/>
  </cols>
  <sheetData>
    <row r="1">
      <c r="A1" s="1" t="inlineStr">
        <is>
          <t>Sumber Harga Dan Link</t>
        </is>
      </c>
      <c r="B1" s="2" t="n"/>
      <c r="C1" s="2" t="n"/>
      <c r="D1" s="2" t="n"/>
    </row>
    <row r="2">
      <c r="A2" s="3" t="inlineStr">
        <is>
          <t>Prioritas Shopee/Tokopedia. Beberapa item memakai Blibli, Digiware, BigGo aggregate, atau official source.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Kebutuhan</t>
        </is>
      </c>
      <c r="B4" s="4" t="inlineStr">
        <is>
          <t>Sumber</t>
        </is>
      </c>
      <c r="C4" s="4" t="inlineStr">
        <is>
          <t>Harga / Info</t>
        </is>
      </c>
      <c r="D4" s="4" t="inlineStr">
        <is>
          <t>Link</t>
        </is>
      </c>
    </row>
    <row r="5">
      <c r="A5" s="2" t="inlineStr">
        <is>
          <t>Box akrilik 30 x 30 x 30 cm</t>
        </is>
      </c>
      <c r="B5" s="2" t="inlineStr">
        <is>
          <t>Blibli</t>
        </is>
      </c>
      <c r="C5" s="2" t="inlineStr">
        <is>
          <t>Rp243.000</t>
        </is>
      </c>
      <c r="D5" s="9" t="inlineStr">
        <is>
          <t>https://www.blibli.com/p/kotak-amal-akrilik-ukuran-besar-30x30x30-cm/ps--DUC-60031-00363</t>
        </is>
      </c>
    </row>
    <row r="6">
      <c r="A6" s="2" t="inlineStr">
        <is>
          <t>BME280 murah</t>
        </is>
      </c>
      <c r="B6" s="2" t="inlineStr">
        <is>
          <t>Blibli</t>
        </is>
      </c>
      <c r="C6" s="2" t="inlineStr">
        <is>
          <t>Rp58.500</t>
        </is>
      </c>
      <c r="D6" s="9" t="inlineStr">
        <is>
          <t>https://www.blibli.com/p/gy-bme280-bme-280-sensor-temperatur-kelembapan-barometric-tekanan-iic/ps--ITE-70030-00189</t>
        </is>
      </c>
    </row>
    <row r="7">
      <c r="A7" s="2" t="inlineStr">
        <is>
          <t>BME280 lebih baik</t>
        </is>
      </c>
      <c r="B7" s="2" t="inlineStr">
        <is>
          <t>Digiware</t>
        </is>
      </c>
      <c r="C7" s="2" t="inlineStr">
        <is>
          <t>Rp148.400</t>
        </is>
      </c>
      <c r="D7" s="9" t="inlineStr">
        <is>
          <t>https://digiwarestore.com/en/sensor/bme280-environmental-sensor-temperature-humidity-barometric-pressure-296523.html</t>
        </is>
      </c>
    </row>
    <row r="8">
      <c r="A8" s="2" t="inlineStr">
        <is>
          <t>Kipas brushless 12 V</t>
        </is>
      </c>
      <c r="B8" s="2" t="inlineStr">
        <is>
          <t>Blibli</t>
        </is>
      </c>
      <c r="C8" s="2" t="inlineStr">
        <is>
          <t>Rp10.000 - Rp125.000</t>
        </is>
      </c>
      <c r="D8" s="9" t="inlineStr">
        <is>
          <t>https://www.blibli.com/jual/dc-blower-fan-12-v</t>
        </is>
      </c>
    </row>
    <row r="9">
      <c r="A9" s="2" t="inlineStr">
        <is>
          <t>Cable gland PG7</t>
        </is>
      </c>
      <c r="B9" s="2" t="inlineStr">
        <is>
          <t>Blibli/Lazada</t>
        </is>
      </c>
      <c r="C9" s="2" t="inlineStr">
        <is>
          <t>Rp2.000 - Rp5.660</t>
        </is>
      </c>
      <c r="D9" s="9" t="inlineStr">
        <is>
          <t>https://www.blibli.com/jual/gland-kabel-pg7-pvc</t>
        </is>
      </c>
    </row>
    <row r="10">
      <c r="A10" s="2" t="inlineStr">
        <is>
          <t>Selang PU 6 mm</t>
        </is>
      </c>
      <c r="B10" s="2" t="inlineStr">
        <is>
          <t>BigGo/Shopee aggregate</t>
        </is>
      </c>
      <c r="C10" s="2" t="inlineStr">
        <is>
          <t>Rp5.000 - Rp6.200/m</t>
        </is>
      </c>
      <c r="D10" s="9" t="inlineStr">
        <is>
          <t>https://biggo.id/s/pneumatic%20selang%206mm</t>
        </is>
      </c>
    </row>
    <row r="11">
      <c r="A11" s="2" t="inlineStr">
        <is>
          <t>Fitting pneumatic 6 mm</t>
        </is>
      </c>
      <c r="B11" s="2" t="inlineStr">
        <is>
          <t>Blibli/Shopee aggregate</t>
        </is>
      </c>
      <c r="C11" s="2" t="inlineStr">
        <is>
          <t>Rp2.500 - Rp9.500/pcs</t>
        </is>
      </c>
      <c r="D11" s="9" t="inlineStr">
        <is>
          <t>https://biggo.id/s/pneumatic%20fitting%206mm</t>
        </is>
      </c>
    </row>
    <row r="12">
      <c r="A12" s="2" t="inlineStr">
        <is>
          <t>Solenoid valve 12 V</t>
        </is>
      </c>
      <c r="B12" s="2" t="inlineStr">
        <is>
          <t>BigGo/Shopee aggregate</t>
        </is>
      </c>
      <c r="C12" s="2" t="inlineStr">
        <is>
          <t>Sekitar Rp157.500</t>
        </is>
      </c>
      <c r="D12" s="9" t="inlineStr">
        <is>
          <t>https://biggo.id/s/Solenoid%2BValve%2B12V</t>
        </is>
      </c>
    </row>
    <row r="13">
      <c r="A13" s="2" t="inlineStr">
        <is>
          <t>Regulator LPG SNI</t>
        </is>
      </c>
      <c r="B13" s="2" t="inlineStr">
        <is>
          <t>Shopee</t>
        </is>
      </c>
      <c r="C13" s="2" t="inlineStr">
        <is>
          <t>Rp48.138</t>
        </is>
      </c>
      <c r="D13" s="9" t="inlineStr">
        <is>
          <t>https://shopee.co.id/Regulator-Gas-LPG-Elpiji-SNI-Termurah-dan-Terbaik-i.641642292.15242832864</t>
        </is>
      </c>
    </row>
    <row r="14">
      <c r="A14" s="2" t="inlineStr">
        <is>
          <t>Rotameter search</t>
        </is>
      </c>
      <c r="B14" s="2" t="inlineStr">
        <is>
          <t>Shopee</t>
        </is>
      </c>
      <c r="C14" s="2" t="inlineStr">
        <is>
          <t>Sekitar Rp190.000+</t>
        </is>
      </c>
      <c r="D14" s="9" t="inlineStr">
        <is>
          <t>https://shopee.co.id/search?keyword=rotameter+flow+meter</t>
        </is>
      </c>
    </row>
    <row r="15">
      <c r="A15" s="2" t="inlineStr">
        <is>
          <t>Gas rotameter LZM-6T</t>
        </is>
      </c>
      <c r="B15" s="2" t="inlineStr">
        <is>
          <t>Shopee</t>
        </is>
      </c>
      <c r="C15" s="2" t="inlineStr">
        <is>
          <t>Rp1.049.000</t>
        </is>
      </c>
      <c r="D15" s="9" t="inlineStr">
        <is>
          <t>https://shopee.co.id/Dn12-1-4-Inch-Flow-15-L-Min-Lzm-6T-Rotameter-%28Gas%29-i.164601711.27812346631</t>
        </is>
      </c>
    </row>
    <row r="16">
      <c r="A16" s="2" t="inlineStr">
        <is>
          <t>Portable combustible detector</t>
        </is>
      </c>
      <c r="B16" s="2" t="inlineStr">
        <is>
          <t>Shopee</t>
        </is>
      </c>
      <c r="C16" s="2" t="inlineStr">
        <is>
          <t>Rp547.000 - Rp1.150.000</t>
        </is>
      </c>
      <c r="D16" s="9" t="inlineStr">
        <is>
          <t>https://shopee.co.id/search?keyword=gas+detectors</t>
        </is>
      </c>
    </row>
    <row r="17">
      <c r="A17" s="2" t="inlineStr">
        <is>
          <t>4-in-1 detector</t>
        </is>
      </c>
      <c r="B17" s="2" t="inlineStr">
        <is>
          <t>SNDWAY Indonesia</t>
        </is>
      </c>
      <c r="C17" s="2" t="inlineStr">
        <is>
          <t>Rp2.250.000</t>
        </is>
      </c>
      <c r="D17" s="9" t="inlineStr">
        <is>
          <t>https://www.sndway.id/product-page/sndway-gas-detector-4-in-1-co-h2s-o2-combustible-gas-sensor-sw-7500a-pro</t>
        </is>
      </c>
    </row>
    <row r="18">
      <c r="A18" s="2" t="inlineStr">
        <is>
          <t>NevadaNano MPS</t>
        </is>
      </c>
      <c r="B18" s="2" t="inlineStr">
        <is>
          <t>Official</t>
        </is>
      </c>
      <c r="C18" s="2" t="inlineStr">
        <is>
          <t>%LEL flammable gases</t>
        </is>
      </c>
      <c r="D18" s="9" t="inlineStr">
        <is>
          <t>https://nevadanano.com/products/mps-flammable-gas-sensor/</t>
        </is>
      </c>
    </row>
    <row r="19">
      <c r="A19" s="2" t="inlineStr">
        <is>
          <t>Alphasense CO</t>
        </is>
      </c>
      <c r="B19" s="2" t="inlineStr">
        <is>
          <t>Official</t>
        </is>
      </c>
      <c r="C19" s="2" t="inlineStr">
        <is>
          <t>CO electrochemical sensors</t>
        </is>
      </c>
      <c r="D19" s="9" t="inlineStr">
        <is>
          <t>https://www.alphasense.com/products/view-by-target-gas/carbon-monoxide-sensors-co</t>
        </is>
      </c>
    </row>
    <row r="20">
      <c r="A20" s="2" t="inlineStr">
        <is>
          <t>Alphasense H2S</t>
        </is>
      </c>
      <c r="B20" s="2" t="inlineStr">
        <is>
          <t>Official</t>
        </is>
      </c>
      <c r="C20" s="2" t="inlineStr">
        <is>
          <t>H2S electrochemical sensors</t>
        </is>
      </c>
      <c r="D20" s="9" t="inlineStr">
        <is>
          <t>https://www.alphasense.com/products/view-by-target-gas/hydrogen-sulphide-sensors-h2s</t>
        </is>
      </c>
    </row>
    <row r="21">
      <c r="A21" s="2" t="inlineStr">
        <is>
          <t>Sensirion SGP40</t>
        </is>
      </c>
      <c r="B21" s="2" t="inlineStr">
        <is>
          <t>Official</t>
        </is>
      </c>
      <c r="C21" s="2" t="inlineStr">
        <is>
          <t>VOC index/interference context</t>
        </is>
      </c>
      <c r="D21" s="9" t="inlineStr">
        <is>
          <t>https://sensirion.com/sgp40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Urutan Pembelian Yang Disarankan</t>
        </is>
      </c>
      <c r="B1" s="2" t="n"/>
    </row>
    <row r="2">
      <c r="A2" s="2" t="n"/>
      <c r="B2" s="2" t="n"/>
    </row>
    <row r="3">
      <c r="A3" s="2" t="inlineStr">
        <is>
          <t>Prioritas</t>
        </is>
      </c>
      <c r="B3" s="2" t="inlineStr">
        <is>
          <t>Item</t>
        </is>
      </c>
    </row>
    <row r="4">
      <c r="A4" s="4" t="n"/>
      <c r="B4" s="4" t="n"/>
    </row>
    <row r="5">
      <c r="A5" s="2" t="inlineStr">
        <is>
          <t>1</t>
        </is>
      </c>
      <c r="B5" s="2" t="inlineStr">
        <is>
          <t>Box/chamber akrilik kecil atau custom chamber 10-30 L</t>
        </is>
      </c>
    </row>
    <row r="6">
      <c r="A6" s="2" t="inlineStr">
        <is>
          <t>2</t>
        </is>
      </c>
      <c r="B6" s="2" t="inlineStr">
        <is>
          <t>BME280/SHT sensor</t>
        </is>
      </c>
    </row>
    <row r="7">
      <c r="A7" s="2" t="inlineStr">
        <is>
          <t>3</t>
        </is>
      </c>
      <c r="B7" s="2" t="inlineStr">
        <is>
          <t>Fan brushless 12 V</t>
        </is>
      </c>
    </row>
    <row r="8">
      <c r="A8" s="2" t="inlineStr">
        <is>
          <t>4</t>
        </is>
      </c>
      <c r="B8" s="2" t="inlineStr">
        <is>
          <t>Cable gland, gasket, fittings, tubing</t>
        </is>
      </c>
    </row>
    <row r="9">
      <c r="A9" s="2" t="inlineStr">
        <is>
          <t>5</t>
        </is>
      </c>
      <c r="B9" s="2" t="inlineStr">
        <is>
          <t>Dua solenoid 12 V normally-closed</t>
        </is>
      </c>
    </row>
    <row r="10">
      <c r="A10" s="2" t="inlineStr">
        <is>
          <t>6</t>
        </is>
      </c>
      <c r="B10" s="2" t="inlineStr">
        <is>
          <t>Regulator dan rotameter</t>
        </is>
      </c>
    </row>
    <row r="11">
      <c r="A11" s="2" t="inlineStr">
        <is>
          <t>7</t>
        </is>
      </c>
      <c r="B11" s="2" t="inlineStr">
        <is>
          <t>Portable combustible gas detector / LEL detector</t>
        </is>
      </c>
    </row>
    <row r="12">
      <c r="A12" s="2" t="inlineStr">
        <is>
          <t>8</t>
        </is>
      </c>
      <c r="B12" s="2" t="inlineStr">
        <is>
          <t>Setelah chamber stabil: upgrade ke 4-in-1 gas detector atau reference instrument</t>
        </is>
      </c>
    </row>
    <row r="13">
      <c r="A13" s="2" t="n"/>
      <c r="B13" s="2" t="n"/>
    </row>
    <row r="14">
      <c r="A14" s="6" t="inlineStr">
        <is>
          <t>Jangan diprioritaskan dulu</t>
        </is>
      </c>
      <c r="B14" s="7" t="inlineStr">
        <is>
          <t>Raw H2S sensor tanpa calibration setup; raw CO sensor untuk klaim ppm; mass flow controller mahal sebelum chamber dasar terbukti; CO/H2S testing sebelum SOP lab.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2026-04-30T02:58:22Z</dcterms:created>
  <dcterms:modified xmlns:dcterms="http://purl.org/dc/terms/" xmlns:xsi="http://www.w3.org/2001/XMLSchema-instance" xsi:type="dcterms:W3CDTF">2026-04-30T02:58:22Z</dcterms:modified>
</cp:coreProperties>
</file>